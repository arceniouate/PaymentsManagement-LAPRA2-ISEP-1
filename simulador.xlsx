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\Downloads\isep-dei-2020-lapr2-lapr2-2020-g060-ea4c63065186\isep-dei-2020-lapr2-lapr2-2020-g060-ea4c63065186\"/>
    </mc:Choice>
  </mc:AlternateContent>
  <xr:revisionPtr revIDLastSave="0" documentId="13_ncr:1_{735CB700-2702-4882-9193-BEE7AFEEB060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Planilha1" sheetId="6" r:id="rId1"/>
    <sheet name="Simulação" sheetId="4" r:id="rId2"/>
    <sheet name="Task" sheetId="3" r:id="rId3"/>
    <sheet name="Freelancer" sheetId="2" r:id="rId4"/>
    <sheet name="Transaction" sheetId="5" r:id="rId5"/>
  </sheets>
  <calcPr calcId="191029" calcMode="manual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4" l="1" a="1"/>
  <c r="J3" i="4" s="1"/>
  <c r="J4" i="4" a="1"/>
  <c r="J4" i="4" s="1"/>
  <c r="J5" i="4" a="1"/>
  <c r="J5" i="4" s="1"/>
  <c r="J6" i="4" a="1"/>
  <c r="J6" i="4" s="1"/>
  <c r="J7" i="4" a="1"/>
  <c r="J7" i="4" s="1"/>
  <c r="J2" i="4" a="1"/>
  <c r="J2" i="4" s="1"/>
  <c r="K6" i="4" l="1"/>
  <c r="L6" i="4"/>
  <c r="P6" i="4"/>
  <c r="Q6" i="4"/>
  <c r="M6" i="4"/>
  <c r="O6" i="4"/>
  <c r="N6" i="4"/>
  <c r="K2" i="4"/>
  <c r="L2" i="4"/>
  <c r="P2" i="4"/>
  <c r="M2" i="4"/>
  <c r="Q2" i="4"/>
  <c r="N2" i="4"/>
  <c r="O2" i="4"/>
  <c r="K4" i="4"/>
  <c r="L4" i="4"/>
  <c r="P4" i="4"/>
  <c r="O4" i="4"/>
  <c r="M4" i="4"/>
  <c r="Q4" i="4"/>
  <c r="N4" i="4"/>
  <c r="K5" i="4"/>
  <c r="N5" i="4"/>
  <c r="O5" i="4"/>
  <c r="Q5" i="4"/>
  <c r="L5" i="4"/>
  <c r="P5" i="4"/>
  <c r="M5" i="4"/>
  <c r="K7" i="4"/>
  <c r="N7" i="4"/>
  <c r="O7" i="4"/>
  <c r="M7" i="4"/>
  <c r="L7" i="4"/>
  <c r="P7" i="4"/>
  <c r="Q7" i="4"/>
  <c r="K3" i="4"/>
  <c r="N3" i="4"/>
  <c r="O3" i="4"/>
  <c r="L3" i="4"/>
  <c r="P3" i="4"/>
  <c r="M3" i="4"/>
  <c r="Q3" i="4"/>
  <c r="C7" i="4" a="1"/>
  <c r="C7" i="4" s="1"/>
  <c r="C6" i="4" a="1"/>
  <c r="C6" i="4" s="1"/>
  <c r="C5" i="4" a="1"/>
  <c r="C5" i="4" s="1"/>
  <c r="C4" i="4" a="1"/>
  <c r="C4" i="4" s="1"/>
  <c r="C3" i="4" a="1"/>
  <c r="C3" i="4" s="1"/>
  <c r="I7" i="4" l="1"/>
  <c r="H7" i="4"/>
  <c r="G7" i="4"/>
  <c r="F7" i="4" a="1"/>
  <c r="F7" i="4" s="1"/>
  <c r="E7" i="4"/>
  <c r="D7" i="4"/>
  <c r="I6" i="4"/>
  <c r="H6" i="4"/>
  <c r="G6" i="4"/>
  <c r="F6" i="4" a="1"/>
  <c r="F6" i="4" s="1"/>
  <c r="E6" i="4"/>
  <c r="D6" i="4"/>
  <c r="I5" i="4"/>
  <c r="H5" i="4"/>
  <c r="G5" i="4"/>
  <c r="F5" i="4" a="1"/>
  <c r="F5" i="4" s="1"/>
  <c r="E5" i="4"/>
  <c r="D5" i="4"/>
  <c r="I4" i="4"/>
  <c r="H4" i="4"/>
  <c r="G4" i="4"/>
  <c r="F4" i="4" a="1"/>
  <c r="F4" i="4" s="1"/>
  <c r="E4" i="4"/>
  <c r="D4" i="4"/>
  <c r="I3" i="4"/>
  <c r="H3" i="4"/>
  <c r="G3" i="4"/>
  <c r="F3" i="4" a="1"/>
  <c r="F3" i="4" s="1"/>
  <c r="E3" i="4"/>
  <c r="D3" i="4"/>
  <c r="B3" i="4"/>
  <c r="B4" i="4" s="1"/>
  <c r="B5" i="4" s="1"/>
  <c r="B6" i="4" s="1"/>
  <c r="B7" i="4" s="1"/>
  <c r="I2" i="4"/>
  <c r="H2" i="4"/>
  <c r="G2" i="4"/>
  <c r="F2" i="4" a="1"/>
  <c r="F2" i="4" s="1"/>
  <c r="E2" i="4"/>
  <c r="D2" i="4"/>
  <c r="C2" i="4" a="1"/>
  <c r="C2" i="4" s="1"/>
  <c r="A5" i="3"/>
  <c r="A4" i="3"/>
  <c r="A3" i="3"/>
  <c r="R3" i="4" l="1"/>
  <c r="R2" i="4"/>
  <c r="R4" i="4" l="1"/>
  <c r="R5" i="4" l="1"/>
  <c r="R6" i="4" l="1"/>
  <c r="R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<sst xmlns="http://schemas.openxmlformats.org/spreadsheetml/2006/main" count="61" uniqueCount="43">
  <si>
    <t>TaskID</t>
  </si>
  <si>
    <t>TaskDescription</t>
  </si>
  <si>
    <t>TaskAssignDuration</t>
  </si>
  <si>
    <t>TaskCostPerHour</t>
  </si>
  <si>
    <t>TaskCategory</t>
  </si>
  <si>
    <t>ExecutionFinishDate</t>
  </si>
  <si>
    <t>ExecutionDelay (hours)</t>
  </si>
  <si>
    <t>ExecutionBriefDescription</t>
  </si>
  <si>
    <t>FreelancerID</t>
  </si>
  <si>
    <t>FreelancerName</t>
  </si>
  <si>
    <t>FreelancerExpertise</t>
  </si>
  <si>
    <t>FreelancerEMail</t>
  </si>
  <si>
    <t>FreelancerNIF</t>
  </si>
  <si>
    <t>FreelancerBanckAccout</t>
  </si>
  <si>
    <t>FreelancerAddress</t>
  </si>
  <si>
    <t>FreeLancerCountry</t>
  </si>
  <si>
    <t>Web Development</t>
  </si>
  <si>
    <t>Software Development</t>
  </si>
  <si>
    <t>High Quality Work</t>
  </si>
  <si>
    <t>JW1</t>
  </si>
  <si>
    <t>John Wayne</t>
  </si>
  <si>
    <t>Junior</t>
  </si>
  <si>
    <t>jw@gmail.com</t>
  </si>
  <si>
    <t>US120010001234567891</t>
  </si>
  <si>
    <t>USA</t>
  </si>
  <si>
    <t>Network Administration</t>
  </si>
  <si>
    <t>Non-expert, problem unsolved</t>
  </si>
  <si>
    <t>Senior</t>
  </si>
  <si>
    <t>Mobile Application Development</t>
  </si>
  <si>
    <t>MS3</t>
  </si>
  <si>
    <t>Maria Sousa</t>
  </si>
  <si>
    <t>ms10@isep.ipp.pt</t>
  </si>
  <si>
    <t>PT120010001234567891</t>
  </si>
  <si>
    <t>Portugal</t>
  </si>
  <si>
    <t>Medium Quality Work, not an expert in Web development</t>
  </si>
  <si>
    <t xml:space="preserve"> </t>
  </si>
  <si>
    <t>ID</t>
  </si>
  <si>
    <t>Street 92- 90- New York</t>
  </si>
  <si>
    <t>Rua SÃƒÂ£o TomÃƒÂ©- 54- Porto</t>
  </si>
  <si>
    <t>Valor</t>
  </si>
  <si>
    <t>DesvPad de Valor2</t>
  </si>
  <si>
    <t>Var. de Valor3</t>
  </si>
  <si>
    <t>Média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</si>
</sst>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42"/>
    <xf numFmtId="0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" refreshedDate="43995.087477893518" createdVersion="6" refreshedVersion="6" minRefreshableVersion="3" recordCount="6" xr:uid="{DC7935BD-09AD-4EA6-ADBA-1224AFBC6CBB}">
  <cacheSource type="worksheet">
    <worksheetSource ref="A1:R7" sheet="Simulação"/>
  </cacheSource>
  <cacheFields count="18">
    <cacheField name="ID" numFmtId="0">
      <sharedItems containsSemiMixedTypes="0" containsString="0" containsNumber="1" containsInteger="1" minValue="101" maxValue="106"/>
    </cacheField>
    <cacheField name="TaskID" numFmtId="0">
      <sharedItems containsSemiMixedTypes="0" containsString="0" containsNumber="1" containsInteger="1" minValue="1" maxValue="6"/>
    </cacheField>
    <cacheField name="TaskDescription" numFmtId="0">
      <sharedItems/>
    </cacheField>
    <cacheField name="TaskAssignDuration" numFmtId="0">
      <sharedItems containsSemiMixedTypes="0" containsString="0" containsNumber="1" containsInteger="1" minValue="53" maxValue="94"/>
    </cacheField>
    <cacheField name="TaskCostPerHour" numFmtId="0">
      <sharedItems containsSemiMixedTypes="0" containsString="0" containsNumber="1" containsInteger="1" minValue="18" maxValue="51"/>
    </cacheField>
    <cacheField name="TaskCategory" numFmtId="0">
      <sharedItems/>
    </cacheField>
    <cacheField name="ExecutionFinishDate" numFmtId="14">
      <sharedItems containsSemiMixedTypes="0" containsNonDate="0" containsDate="1" containsString="0" minDate="2020-01-14T00:00:00" maxDate="2020-04-24T00:00:00"/>
    </cacheField>
    <cacheField name="ExecutionDelay (hours)" numFmtId="0">
      <sharedItems containsSemiMixedTypes="0" containsString="0" containsNumber="1" containsInteger="1" minValue="-9" maxValue="6"/>
    </cacheField>
    <cacheField name="ExecutionBriefDescription" numFmtId="0">
      <sharedItems/>
    </cacheField>
    <cacheField name="FreelancerID" numFmtId="0">
      <sharedItems/>
    </cacheField>
    <cacheField name="FreelancerName" numFmtId="0">
      <sharedItems/>
    </cacheField>
    <cacheField name="FreelancerExpertise" numFmtId="0">
      <sharedItems/>
    </cacheField>
    <cacheField name="FreelancerEMail" numFmtId="0">
      <sharedItems/>
    </cacheField>
    <cacheField name="FreelancerNIF" numFmtId="0">
      <sharedItems containsSemiMixedTypes="0" containsString="0" containsNumber="1" containsInteger="1" minValue="213456789" maxValue="921654987"/>
    </cacheField>
    <cacheField name="FreelancerBanckAccout" numFmtId="0">
      <sharedItems/>
    </cacheField>
    <cacheField name="FreelancerAddress" numFmtId="0">
      <sharedItems/>
    </cacheField>
    <cacheField name="FreeLancerCountry" numFmtId="0">
      <sharedItems/>
    </cacheField>
    <cacheField name="Valor" numFmtId="0">
      <sharedItems containsSemiMixedTypes="0" containsString="0" containsNumber="1" containsInteger="1" minValue="2544" maxValue="95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01"/>
    <n v="1"/>
    <s v="Network Administration"/>
    <n v="53"/>
    <n v="24"/>
    <s v="Software Development"/>
    <d v="2020-02-24T00:00:00"/>
    <n v="6"/>
    <s v="Non-expert, problem unsolved"/>
    <s v="MA1"/>
    <s v="Marion Antoine"/>
    <s v="Senior"/>
    <s v="ms10@isep.ipp.pt"/>
    <n v="213456789"/>
    <s v="PT120010001234567891"/>
    <s v="Rua SÃƒÂ£o TomÃƒÂ©- 54- Porto"/>
    <s v="Portugal"/>
    <n v="2544"/>
  </r>
  <r>
    <n v="102"/>
    <n v="2"/>
    <s v="Web Development"/>
    <n v="73"/>
    <n v="18"/>
    <s v="Software Development"/>
    <d v="2020-01-14T00:00:00"/>
    <n v="-5"/>
    <s v="High Quality Work"/>
    <s v="MS3"/>
    <s v="Maria Sousa"/>
    <s v="Senior"/>
    <s v="ms10@isep.ipp.pt"/>
    <n v="921654987"/>
    <s v="US120010001234567891"/>
    <s v="Boulevard Royal- 100"/>
    <s v="Luxembourg"/>
    <n v="2628"/>
  </r>
  <r>
    <n v="103"/>
    <n v="3"/>
    <s v="Web Development"/>
    <n v="92"/>
    <n v="34"/>
    <s v="Network Administration"/>
    <d v="2020-03-31T00:00:00"/>
    <n v="-9"/>
    <s v="Non-expert, problem unsolved"/>
    <s v="JW1"/>
    <s v="Marion Antoine"/>
    <s v="Senior"/>
    <s v="ms10@isep.ipp.pt"/>
    <n v="921654987"/>
    <s v="PT120010001234567891"/>
    <s v="Street 92- 90- New York"/>
    <s v="Luxembourg"/>
    <n v="6256"/>
  </r>
  <r>
    <n v="104"/>
    <n v="4"/>
    <s v="Mobile Application Development"/>
    <n v="84"/>
    <n v="32"/>
    <s v="Network Administration"/>
    <d v="2020-03-30T00:00:00"/>
    <n v="6"/>
    <s v="Medium Quality Work, not an expert in Web development"/>
    <s v="JW1"/>
    <s v="John Wayne"/>
    <s v="Senior"/>
    <s v="Marion190@hotmail.com"/>
    <n v="213456789"/>
    <s v="US120010001234567891"/>
    <s v="Boulevard Royal- 100"/>
    <s v="USA"/>
    <n v="5376"/>
  </r>
  <r>
    <n v="105"/>
    <n v="5"/>
    <s v="Web Development"/>
    <n v="83"/>
    <n v="47"/>
    <s v="Software Development"/>
    <d v="2020-04-11T00:00:00"/>
    <n v="1"/>
    <s v="Non-expert, problem unsolved"/>
    <s v="JW1"/>
    <s v="John Wayne"/>
    <s v="Junior"/>
    <s v="jw@gmail.com"/>
    <n v="921654987"/>
    <s v="PT120010001234567891"/>
    <s v="Boulevard Royal- 100"/>
    <s v="Luxembourg"/>
    <n v="3901"/>
  </r>
  <r>
    <n v="106"/>
    <n v="6"/>
    <s v="Web Development"/>
    <n v="94"/>
    <n v="51"/>
    <s v="Software Development"/>
    <d v="2020-04-23T00:00:00"/>
    <n v="1"/>
    <s v="Non-expert, problem unsolved"/>
    <s v="JW1"/>
    <s v="Maria Sousa"/>
    <s v="Senior"/>
    <s v="ms10@isep.ipp.pt"/>
    <n v="223654587"/>
    <s v="PT120010001234567891"/>
    <s v="Street 92- 90- New York"/>
    <s v="Luxembourg"/>
    <n v="95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C8D00-9B45-4C67-BEB8-077347D98D7C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4" firstHeaderRow="0" firstDataRow="1" firstDataCol="0"/>
  <pivotFields count="18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Média de Valor" fld="17" subtotal="average" baseField="0" baseItem="1"/>
    <dataField name="DesvPad de Valor2" fld="17" subtotal="stdDev" baseField="0" baseItem="1"/>
    <dataField name="Var. de Valor3" fld="17" subtotal="var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C4D4-A278-41EB-A8D3-E907B930A6DB}">
  <dimension ref="A3:C4"/>
  <sheetViews>
    <sheetView workbookViewId="0">
      <selection activeCell="B4" sqref="B4"/>
    </sheetView>
  </sheetViews>
  <sheetFormatPr defaultRowHeight="15" x14ac:dyDescent="0.25"/>
  <cols>
    <col min="1" max="1" width="14.7109375" bestFit="1" customWidth="1"/>
    <col min="2" max="2" width="17.7109375" bestFit="1" customWidth="1"/>
    <col min="3" max="3" width="13.5703125" bestFit="1" customWidth="1"/>
  </cols>
  <sheetData>
    <row r="3" spans="1:3" x14ac:dyDescent="0.25">
      <c r="A3" t="s">
        <v>42</v>
      </c>
      <c r="B3" t="s">
        <v>40</v>
      </c>
      <c r="C3" t="s">
        <v>41</v>
      </c>
    </row>
    <row r="4" spans="1:3" x14ac:dyDescent="0.25">
      <c r="A4" s="3">
        <v>5048.833333333333</v>
      </c>
      <c r="B4" s="3">
        <v>2669.0998045533383</v>
      </c>
      <c r="C4" s="3">
        <v>7124093.7666666685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"/>
  <sheetViews>
    <sheetView tabSelected="1" topLeftCell="C1" workbookViewId="0">
      <selection activeCell="J6" sqref="J6"/>
    </sheetView>
  </sheetViews>
  <sheetFormatPr defaultRowHeight="15" x14ac:dyDescent="0.25"/>
  <cols>
    <col min="7" max="7" width="19.42578125" bestFit="1" customWidth="1"/>
    <col min="16" max="16" width="32.7109375" bestFit="1" customWidth="1"/>
  </cols>
  <sheetData>
    <row r="1" spans="1:18" x14ac:dyDescent="0.25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39</v>
      </c>
    </row>
    <row r="2" spans="1:18" x14ac:dyDescent="0.25">
      <c r="A2">
        <v>101</v>
      </c>
      <c r="B2">
        <v>1</v>
      </c>
      <c r="C2" t="str" cm="1">
        <f t="array" aca="1" ref="C2" ca="1">INDEX(Task!$B$1:$E$5,RANDBETWEEN(2,5),MATCH(Simulação!C$1,Task!$B$1:$E$1,0))</f>
        <v>Mobile Application Development</v>
      </c>
      <c r="D2">
        <f ca="1">RANDBETWEEN(20,100)</f>
        <v>91</v>
      </c>
      <c r="E2">
        <f ca="1">RANDBETWEEN(10,60)</f>
        <v>23</v>
      </c>
      <c r="F2" t="str" cm="1">
        <f t="array" aca="1" ref="F2" ca="1">INDEX(Task!$B$1:$E$5,RANDBETWEEN(2,5),MATCH(Simulação!F$1,Task!$B$1:$E$1,0))</f>
        <v>Software Development</v>
      </c>
      <c r="G2" s="1">
        <f ca="1">RANDBETWEEN(DATE(2020,1,1),DATE(2020,5,28))</f>
        <v>43915</v>
      </c>
      <c r="H2">
        <f ca="1">RANDBETWEEN(-10,10)</f>
        <v>3</v>
      </c>
      <c r="I2" t="str">
        <f ca="1">VLOOKUP(RANDBETWEEN(2,4),Transaction!$A$1:$B$4,2,0)</f>
        <v>High Quality Work</v>
      </c>
      <c r="J2" t="str" cm="1">
        <f t="array" aca="1" ref="J2" ca="1">INDEX(Freelancer!$A$1:$H$3,RANDBETWEEN(2,3),MATCH(Simulação!J$1,Freelancer!$A$1:$H$1,0))</f>
        <v>JW1</v>
      </c>
      <c r="K2" t="str">
        <f ca="1">VLOOKUP($J2,Freelancer!$A:$H,MATCH(Simulação!K$1,Freelancer!$A$1:$H$1,0))</f>
        <v>John Wayne</v>
      </c>
      <c r="L2" t="str">
        <f ca="1">VLOOKUP($J2,Freelancer!$A:$H,MATCH(Simulação!L$1,Freelancer!$A$1:$H$1,0))</f>
        <v>Junior</v>
      </c>
      <c r="M2" t="str">
        <f ca="1">VLOOKUP($J2,Freelancer!$A:$H,MATCH(Simulação!M$1,Freelancer!$A$1:$H$1,0))</f>
        <v>jw@gmail.com</v>
      </c>
      <c r="N2">
        <f ca="1">VLOOKUP($J2,Freelancer!$A:$H,MATCH(Simulação!N$1,Freelancer!$A$1:$H$1,0))</f>
        <v>921654987</v>
      </c>
      <c r="O2" t="str">
        <f ca="1">VLOOKUP($J2,Freelancer!$A:$H,MATCH(Simulação!O$1,Freelancer!$A$1:$H$1,0))</f>
        <v>US120010001234567891</v>
      </c>
      <c r="P2" t="str">
        <f ca="1">VLOOKUP($J2,Freelancer!$A:$H,MATCH(Simulação!P$1,Freelancer!$A$1:$H$1,0))</f>
        <v>Street 92- 90- New York</v>
      </c>
      <c r="Q2" t="str">
        <f ca="1">VLOOKUP($J2,Freelancer!$A:$H,MATCH(Simulação!Q$1,Freelancer!$A$1:$H$1,0))</f>
        <v>USA</v>
      </c>
      <c r="R2">
        <f ca="1">D2*E2*IF(L2="Senior",2,1)</f>
        <v>2093</v>
      </c>
    </row>
    <row r="3" spans="1:18" x14ac:dyDescent="0.25">
      <c r="A3">
        <v>102</v>
      </c>
      <c r="B3">
        <f>B2+1</f>
        <v>2</v>
      </c>
      <c r="C3" t="str" cm="1">
        <f t="array" aca="1" ref="C3" ca="1">INDEX(Task!$B$1:$E$5,RANDBETWEEN(2,5),MATCH(Simulação!C$1,Task!$B$1:$E$1,0))</f>
        <v>Web Development</v>
      </c>
      <c r="D3">
        <f t="shared" ref="D3:D7" ca="1" si="0">RANDBETWEEN(20,100)</f>
        <v>48</v>
      </c>
      <c r="E3">
        <f t="shared" ref="E3:E7" ca="1" si="1">RANDBETWEEN(10,60)</f>
        <v>55</v>
      </c>
      <c r="F3" t="str" cm="1">
        <f t="array" aca="1" ref="F3" ca="1">INDEX(Task!$B$1:$E$5,RANDBETWEEN(2,5),MATCH(Simulação!F$1,Task!$B$1:$E$1,0))</f>
        <v>Software Development</v>
      </c>
      <c r="G3" s="1">
        <f t="shared" ref="G3:G7" ca="1" si="2">RANDBETWEEN(DATE(2020,1,1),DATE(2020,5,28))</f>
        <v>43970</v>
      </c>
      <c r="H3">
        <f t="shared" ref="H3:H7" ca="1" si="3">RANDBETWEEN(-10,10)</f>
        <v>-7</v>
      </c>
      <c r="I3" t="str">
        <f ca="1">VLOOKUP(RANDBETWEEN(2,4),Transaction!$A$1:$B$4,2,0)</f>
        <v>Non-expert, problem unsolved</v>
      </c>
      <c r="J3" t="str" cm="1">
        <f t="array" aca="1" ref="J3" ca="1">INDEX(Freelancer!$A$1:$H$3,RANDBETWEEN(2,3),MATCH(Simulação!J$1,Freelancer!$A$1:$H$1,0))</f>
        <v>MS3</v>
      </c>
      <c r="K3" t="str">
        <f ca="1">VLOOKUP($J3,Freelancer!$A:$H,MATCH(Simulação!K$1,Freelancer!$A$1:$H$1,0))</f>
        <v>Maria Sousa</v>
      </c>
      <c r="L3" t="str">
        <f ca="1">VLOOKUP($J3,Freelancer!$A:$H,MATCH(Simulação!L$1,Freelancer!$A$1:$H$1,0))</f>
        <v>Senior</v>
      </c>
      <c r="M3" t="str">
        <f ca="1">VLOOKUP($J3,Freelancer!$A:$H,MATCH(Simulação!M$1,Freelancer!$A$1:$H$1,0))</f>
        <v>ms10@isep.ipp.pt</v>
      </c>
      <c r="N3">
        <f ca="1">VLOOKUP($J3,Freelancer!$A:$H,MATCH(Simulação!N$1,Freelancer!$A$1:$H$1,0))</f>
        <v>213456789</v>
      </c>
      <c r="O3" t="str">
        <f ca="1">VLOOKUP($J3,Freelancer!$A:$H,MATCH(Simulação!O$1,Freelancer!$A$1:$H$1,0))</f>
        <v>PT120010001234567891</v>
      </c>
      <c r="P3" t="str">
        <f ca="1">VLOOKUP($J3,Freelancer!$A:$H,MATCH(Simulação!P$1,Freelancer!$A$1:$H$1,0))</f>
        <v>Rua SÃƒÂ£o TomÃƒÂ©- 54- Porto</v>
      </c>
      <c r="Q3" t="str">
        <f ca="1">VLOOKUP($J3,Freelancer!$A:$H,MATCH(Simulação!Q$1,Freelancer!$A$1:$H$1,0))</f>
        <v>Portugal</v>
      </c>
      <c r="R3">
        <f t="shared" ref="R3:R7" ca="1" si="4">D3*E3*IF(L3="Senior",2,1)</f>
        <v>5280</v>
      </c>
    </row>
    <row r="4" spans="1:18" x14ac:dyDescent="0.25">
      <c r="A4">
        <v>103</v>
      </c>
      <c r="B4">
        <f t="shared" ref="B4:B7" si="5">B3+1</f>
        <v>3</v>
      </c>
      <c r="C4" t="str" cm="1">
        <f t="array" aca="1" ref="C4" ca="1">INDEX(Task!$B$1:$E$5,RANDBETWEEN(2,5),MATCH(Simulação!C$1,Task!$B$1:$E$1,0))</f>
        <v>Network Administration</v>
      </c>
      <c r="D4">
        <f t="shared" ca="1" si="0"/>
        <v>44</v>
      </c>
      <c r="E4">
        <f t="shared" ca="1" si="1"/>
        <v>50</v>
      </c>
      <c r="F4" t="str" cm="1">
        <f t="array" aca="1" ref="F4" ca="1">INDEX(Task!$B$1:$E$5,RANDBETWEEN(2,5),MATCH(Simulação!F$1,Task!$B$1:$E$1,0))</f>
        <v>Software Development</v>
      </c>
      <c r="G4" s="1">
        <f t="shared" ca="1" si="2"/>
        <v>43849</v>
      </c>
      <c r="H4">
        <f t="shared" ca="1" si="3"/>
        <v>-8</v>
      </c>
      <c r="I4" t="str">
        <f ca="1">VLOOKUP(RANDBETWEEN(2,4),Transaction!$A$1:$B$4,2,0)</f>
        <v>Non-expert, problem unsolved</v>
      </c>
      <c r="J4" t="str" cm="1">
        <f t="array" aca="1" ref="J4" ca="1">INDEX(Freelancer!$A$1:$H$3,RANDBETWEEN(2,3),MATCH(Simulação!J$1,Freelancer!$A$1:$H$1,0))</f>
        <v>MS3</v>
      </c>
      <c r="K4" t="str">
        <f ca="1">VLOOKUP($J4,Freelancer!$A:$H,MATCH(Simulação!K$1,Freelancer!$A$1:$H$1,0))</f>
        <v>Maria Sousa</v>
      </c>
      <c r="L4" t="str">
        <f ca="1">VLOOKUP($J4,Freelancer!$A:$H,MATCH(Simulação!L$1,Freelancer!$A$1:$H$1,0))</f>
        <v>Senior</v>
      </c>
      <c r="M4" t="str">
        <f ca="1">VLOOKUP($J4,Freelancer!$A:$H,MATCH(Simulação!M$1,Freelancer!$A$1:$H$1,0))</f>
        <v>ms10@isep.ipp.pt</v>
      </c>
      <c r="N4">
        <f ca="1">VLOOKUP($J4,Freelancer!$A:$H,MATCH(Simulação!N$1,Freelancer!$A$1:$H$1,0))</f>
        <v>213456789</v>
      </c>
      <c r="O4" t="str">
        <f ca="1">VLOOKUP($J4,Freelancer!$A:$H,MATCH(Simulação!O$1,Freelancer!$A$1:$H$1,0))</f>
        <v>PT120010001234567891</v>
      </c>
      <c r="P4" t="str">
        <f ca="1">VLOOKUP($J4,Freelancer!$A:$H,MATCH(Simulação!P$1,Freelancer!$A$1:$H$1,0))</f>
        <v>Rua SÃƒÂ£o TomÃƒÂ©- 54- Porto</v>
      </c>
      <c r="Q4" t="str">
        <f ca="1">VLOOKUP($J4,Freelancer!$A:$H,MATCH(Simulação!Q$1,Freelancer!$A$1:$H$1,0))</f>
        <v>Portugal</v>
      </c>
      <c r="R4">
        <f t="shared" ca="1" si="4"/>
        <v>4400</v>
      </c>
    </row>
    <row r="5" spans="1:18" x14ac:dyDescent="0.25">
      <c r="A5">
        <v>104</v>
      </c>
      <c r="B5">
        <f t="shared" si="5"/>
        <v>4</v>
      </c>
      <c r="C5" t="str" cm="1">
        <f t="array" aca="1" ref="C5" ca="1">INDEX(Task!$B$1:$E$5,RANDBETWEEN(2,5),MATCH(Simulação!C$1,Task!$B$1:$E$1,0))</f>
        <v>Web Development</v>
      </c>
      <c r="D5">
        <f t="shared" ca="1" si="0"/>
        <v>58</v>
      </c>
      <c r="E5">
        <f t="shared" ca="1" si="1"/>
        <v>51</v>
      </c>
      <c r="F5" t="str" cm="1">
        <f t="array" aca="1" ref="F5" ca="1">INDEX(Task!$B$1:$E$5,RANDBETWEEN(2,5),MATCH(Simulação!F$1,Task!$B$1:$E$1,0))</f>
        <v>Network Administration</v>
      </c>
      <c r="G5" s="1">
        <f t="shared" ca="1" si="2"/>
        <v>43859</v>
      </c>
      <c r="H5">
        <f t="shared" ca="1" si="3"/>
        <v>-6</v>
      </c>
      <c r="I5" t="str">
        <f ca="1">VLOOKUP(RANDBETWEEN(2,4),Transaction!$A$1:$B$4,2,0)</f>
        <v>Medium Quality Work, not an expert in Web development</v>
      </c>
      <c r="J5" t="str" cm="1">
        <f t="array" aca="1" ref="J5" ca="1">INDEX(Freelancer!$A$1:$H$3,RANDBETWEEN(2,3),MATCH(Simulação!J$1,Freelancer!$A$1:$H$1,0))</f>
        <v>MS3</v>
      </c>
      <c r="K5" t="str">
        <f ca="1">VLOOKUP($J5,Freelancer!$A:$H,MATCH(Simulação!K$1,Freelancer!$A$1:$H$1,0))</f>
        <v>Maria Sousa</v>
      </c>
      <c r="L5" t="str">
        <f ca="1">VLOOKUP($J5,Freelancer!$A:$H,MATCH(Simulação!L$1,Freelancer!$A$1:$H$1,0))</f>
        <v>Senior</v>
      </c>
      <c r="M5" t="str">
        <f ca="1">VLOOKUP($J5,Freelancer!$A:$H,MATCH(Simulação!M$1,Freelancer!$A$1:$H$1,0))</f>
        <v>ms10@isep.ipp.pt</v>
      </c>
      <c r="N5">
        <f ca="1">VLOOKUP($J5,Freelancer!$A:$H,MATCH(Simulação!N$1,Freelancer!$A$1:$H$1,0))</f>
        <v>213456789</v>
      </c>
      <c r="O5" t="str">
        <f ca="1">VLOOKUP($J5,Freelancer!$A:$H,MATCH(Simulação!O$1,Freelancer!$A$1:$H$1,0))</f>
        <v>PT120010001234567891</v>
      </c>
      <c r="P5" t="str">
        <f ca="1">VLOOKUP($J5,Freelancer!$A:$H,MATCH(Simulação!P$1,Freelancer!$A$1:$H$1,0))</f>
        <v>Rua SÃƒÂ£o TomÃƒÂ©- 54- Porto</v>
      </c>
      <c r="Q5" t="str">
        <f ca="1">VLOOKUP($J5,Freelancer!$A:$H,MATCH(Simulação!Q$1,Freelancer!$A$1:$H$1,0))</f>
        <v>Portugal</v>
      </c>
      <c r="R5">
        <f t="shared" ca="1" si="4"/>
        <v>5916</v>
      </c>
    </row>
    <row r="6" spans="1:18" x14ac:dyDescent="0.25">
      <c r="A6">
        <v>105</v>
      </c>
      <c r="B6">
        <f t="shared" si="5"/>
        <v>5</v>
      </c>
      <c r="C6" t="str" cm="1">
        <f t="array" aca="1" ref="C6" ca="1">INDEX(Task!$B$1:$E$5,RANDBETWEEN(2,5),MATCH(Simulação!C$1,Task!$B$1:$E$1,0))</f>
        <v>Web Development</v>
      </c>
      <c r="D6">
        <f t="shared" ca="1" si="0"/>
        <v>37</v>
      </c>
      <c r="E6">
        <f t="shared" ca="1" si="1"/>
        <v>14</v>
      </c>
      <c r="F6" t="str" cm="1">
        <f t="array" aca="1" ref="F6" ca="1">INDEX(Task!$B$1:$E$5,RANDBETWEEN(2,5),MATCH(Simulação!F$1,Task!$B$1:$E$1,0))</f>
        <v>Software Development</v>
      </c>
      <c r="G6" s="1">
        <f t="shared" ca="1" si="2"/>
        <v>43882</v>
      </c>
      <c r="H6">
        <f t="shared" ca="1" si="3"/>
        <v>0</v>
      </c>
      <c r="I6" t="str">
        <f ca="1">VLOOKUP(RANDBETWEEN(2,4),Transaction!$A$1:$B$4,2,0)</f>
        <v>Non-expert, problem unsolved</v>
      </c>
      <c r="J6" t="str" cm="1">
        <f t="array" aca="1" ref="J6" ca="1">INDEX(Freelancer!$A$1:$H$3,RANDBETWEEN(2,3),MATCH(Simulação!J$1,Freelancer!$A$1:$H$1,0))</f>
        <v>JW1</v>
      </c>
      <c r="K6" t="str">
        <f ca="1">VLOOKUP($J6,Freelancer!$A:$H,MATCH(Simulação!K$1,Freelancer!$A$1:$H$1,0))</f>
        <v>John Wayne</v>
      </c>
      <c r="L6" t="str">
        <f ca="1">VLOOKUP($J6,Freelancer!$A:$H,MATCH(Simulação!L$1,Freelancer!$A$1:$H$1,0))</f>
        <v>Junior</v>
      </c>
      <c r="M6" t="str">
        <f ca="1">VLOOKUP($J6,Freelancer!$A:$H,MATCH(Simulação!M$1,Freelancer!$A$1:$H$1,0))</f>
        <v>jw@gmail.com</v>
      </c>
      <c r="N6">
        <f ca="1">VLOOKUP($J6,Freelancer!$A:$H,MATCH(Simulação!N$1,Freelancer!$A$1:$H$1,0))</f>
        <v>921654987</v>
      </c>
      <c r="O6" t="str">
        <f ca="1">VLOOKUP($J6,Freelancer!$A:$H,MATCH(Simulação!O$1,Freelancer!$A$1:$H$1,0))</f>
        <v>US120010001234567891</v>
      </c>
      <c r="P6" t="str">
        <f ca="1">VLOOKUP($J6,Freelancer!$A:$H,MATCH(Simulação!P$1,Freelancer!$A$1:$H$1,0))</f>
        <v>Street 92- 90- New York</v>
      </c>
      <c r="Q6" t="str">
        <f ca="1">VLOOKUP($J6,Freelancer!$A:$H,MATCH(Simulação!Q$1,Freelancer!$A$1:$H$1,0))</f>
        <v>USA</v>
      </c>
      <c r="R6">
        <f t="shared" ca="1" si="4"/>
        <v>518</v>
      </c>
    </row>
    <row r="7" spans="1:18" x14ac:dyDescent="0.25">
      <c r="A7">
        <v>106</v>
      </c>
      <c r="B7">
        <f t="shared" si="5"/>
        <v>6</v>
      </c>
      <c r="C7" t="str" cm="1">
        <f t="array" aca="1" ref="C7" ca="1">INDEX(Task!$B$1:$E$5,RANDBETWEEN(2,5),MATCH(Simulação!C$1,Task!$B$1:$E$1,0))</f>
        <v>Web Development</v>
      </c>
      <c r="D7">
        <f t="shared" ca="1" si="0"/>
        <v>24</v>
      </c>
      <c r="E7">
        <f t="shared" ca="1" si="1"/>
        <v>19</v>
      </c>
      <c r="F7" t="str" cm="1">
        <f t="array" aca="1" ref="F7" ca="1">INDEX(Task!$B$1:$E$5,RANDBETWEEN(2,5),MATCH(Simulação!F$1,Task!$B$1:$E$1,0))</f>
        <v>Software Development</v>
      </c>
      <c r="G7" s="1">
        <f t="shared" ca="1" si="2"/>
        <v>43845</v>
      </c>
      <c r="H7">
        <f t="shared" ca="1" si="3"/>
        <v>-8</v>
      </c>
      <c r="I7" t="str">
        <f ca="1">VLOOKUP(RANDBETWEEN(2,4),Transaction!$A$1:$B$4,2,0)</f>
        <v>Medium Quality Work, not an expert in Web development</v>
      </c>
      <c r="J7" t="str" cm="1">
        <f t="array" aca="1" ref="J7" ca="1">INDEX(Freelancer!$A$1:$H$3,RANDBETWEEN(2,3),MATCH(Simulação!J$1,Freelancer!$A$1:$H$1,0))</f>
        <v>JW1</v>
      </c>
      <c r="K7" t="str">
        <f ca="1">VLOOKUP($J7,Freelancer!$A:$H,MATCH(Simulação!K$1,Freelancer!$A$1:$H$1,0))</f>
        <v>John Wayne</v>
      </c>
      <c r="L7" t="str">
        <f ca="1">VLOOKUP($J7,Freelancer!$A:$H,MATCH(Simulação!L$1,Freelancer!$A$1:$H$1,0))</f>
        <v>Junior</v>
      </c>
      <c r="M7" t="str">
        <f ca="1">VLOOKUP($J7,Freelancer!$A:$H,MATCH(Simulação!M$1,Freelancer!$A$1:$H$1,0))</f>
        <v>jw@gmail.com</v>
      </c>
      <c r="N7">
        <f ca="1">VLOOKUP($J7,Freelancer!$A:$H,MATCH(Simulação!N$1,Freelancer!$A$1:$H$1,0))</f>
        <v>921654987</v>
      </c>
      <c r="O7" t="str">
        <f ca="1">VLOOKUP($J7,Freelancer!$A:$H,MATCH(Simulação!O$1,Freelancer!$A$1:$H$1,0))</f>
        <v>US120010001234567891</v>
      </c>
      <c r="P7" t="str">
        <f ca="1">VLOOKUP($J7,Freelancer!$A:$H,MATCH(Simulação!P$1,Freelancer!$A$1:$H$1,0))</f>
        <v>Street 92- 90- New York</v>
      </c>
      <c r="Q7" t="str">
        <f ca="1">VLOOKUP($J7,Freelancer!$A:$H,MATCH(Simulação!Q$1,Freelancer!$A$1:$H$1,0))</f>
        <v>USA</v>
      </c>
      <c r="R7">
        <f t="shared" ca="1" si="4"/>
        <v>456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A6" sqref="A6:E77"/>
    </sheetView>
  </sheetViews>
  <sheetFormatPr defaultRowHeight="15" x14ac:dyDescent="0.25"/>
  <cols>
    <col min="1" max="1" width="6.7109375" bestFit="1" customWidth="1"/>
    <col min="2" max="2" width="31.140625" bestFit="1" customWidth="1"/>
    <col min="3" max="3" width="18.5703125" bestFit="1" customWidth="1"/>
    <col min="4" max="4" width="16.140625" bestFit="1" customWidth="1"/>
    <col min="5" max="5" width="22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16</v>
      </c>
      <c r="C2">
        <v>48</v>
      </c>
      <c r="D2">
        <v>20</v>
      </c>
      <c r="E2" t="s">
        <v>17</v>
      </c>
    </row>
    <row r="3" spans="1:5" x14ac:dyDescent="0.25">
      <c r="A3">
        <f>A2+1</f>
        <v>2</v>
      </c>
      <c r="B3" t="s">
        <v>25</v>
      </c>
      <c r="C3">
        <v>20</v>
      </c>
      <c r="D3">
        <v>40</v>
      </c>
      <c r="E3" t="s">
        <v>25</v>
      </c>
    </row>
    <row r="4" spans="1:5" x14ac:dyDescent="0.25">
      <c r="A4">
        <f>A3+1</f>
        <v>3</v>
      </c>
      <c r="B4" t="s">
        <v>16</v>
      </c>
      <c r="C4">
        <v>30</v>
      </c>
      <c r="D4">
        <v>30</v>
      </c>
      <c r="E4" t="s">
        <v>17</v>
      </c>
    </row>
    <row r="5" spans="1:5" x14ac:dyDescent="0.25">
      <c r="A5">
        <f>A4+1</f>
        <v>4</v>
      </c>
      <c r="B5" t="s">
        <v>28</v>
      </c>
      <c r="C5">
        <v>60</v>
      </c>
      <c r="D5">
        <v>50</v>
      </c>
      <c r="E5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A3" sqref="A3:XFD3"/>
    </sheetView>
  </sheetViews>
  <sheetFormatPr defaultRowHeight="15" x14ac:dyDescent="0.25"/>
  <cols>
    <col min="1" max="1" width="12.28515625" bestFit="1" customWidth="1"/>
    <col min="2" max="2" width="15.85546875" bestFit="1" customWidth="1"/>
    <col min="3" max="3" width="19" bestFit="1" customWidth="1"/>
    <col min="4" max="4" width="23.7109375" bestFit="1" customWidth="1"/>
    <col min="5" max="5" width="13.5703125" bestFit="1" customWidth="1"/>
    <col min="6" max="6" width="22" bestFit="1" customWidth="1"/>
    <col min="7" max="7" width="35" customWidth="1"/>
    <col min="8" max="8" width="18" bestFit="1" customWidth="1"/>
  </cols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19</v>
      </c>
      <c r="B2" t="s">
        <v>20</v>
      </c>
      <c r="C2" t="s">
        <v>21</v>
      </c>
      <c r="D2" t="s">
        <v>22</v>
      </c>
      <c r="E2">
        <v>921654987</v>
      </c>
      <c r="F2" t="s">
        <v>23</v>
      </c>
      <c r="G2" t="s">
        <v>37</v>
      </c>
      <c r="H2" t="s">
        <v>24</v>
      </c>
    </row>
    <row r="3" spans="1:8" x14ac:dyDescent="0.25">
      <c r="A3" t="s">
        <v>29</v>
      </c>
      <c r="B3" t="s">
        <v>30</v>
      </c>
      <c r="C3" t="s">
        <v>27</v>
      </c>
      <c r="D3" t="s">
        <v>31</v>
      </c>
      <c r="E3">
        <v>213456789</v>
      </c>
      <c r="F3" t="s">
        <v>32</v>
      </c>
      <c r="G3" t="s">
        <v>38</v>
      </c>
      <c r="H3" t="s">
        <v>33</v>
      </c>
    </row>
    <row r="4" spans="1:8" x14ac:dyDescent="0.25">
      <c r="D4" s="2"/>
    </row>
    <row r="15" spans="1:8" x14ac:dyDescent="0.25">
      <c r="B15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B209-9622-491B-975E-E5991F93A439}">
  <dimension ref="A1:B4"/>
  <sheetViews>
    <sheetView workbookViewId="0">
      <selection activeCell="A5" sqref="A5"/>
    </sheetView>
  </sheetViews>
  <sheetFormatPr defaultRowHeight="15" x14ac:dyDescent="0.25"/>
  <sheetData>
    <row r="1" spans="1:2" x14ac:dyDescent="0.25">
      <c r="A1">
        <v>1</v>
      </c>
      <c r="B1" t="s">
        <v>7</v>
      </c>
    </row>
    <row r="2" spans="1:2" x14ac:dyDescent="0.25">
      <c r="A2">
        <v>2</v>
      </c>
      <c r="B2" t="s">
        <v>18</v>
      </c>
    </row>
    <row r="3" spans="1:2" x14ac:dyDescent="0.25">
      <c r="A3">
        <v>3</v>
      </c>
      <c r="B3" t="s">
        <v>26</v>
      </c>
    </row>
    <row r="4" spans="1:2" x14ac:dyDescent="0.25">
      <c r="A4">
        <v>4</v>
      </c>
      <c r="B4" t="s">
        <v>34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31B7998274774382A22C62733972BB" ma:contentTypeVersion="13" ma:contentTypeDescription="Create a new document." ma:contentTypeScope="" ma:versionID="e0279d2562d04124c0fb386f8a9bd440">
  <xsd:schema xmlns:xsd="http://www.w3.org/2001/XMLSchema" xmlns:xs="http://www.w3.org/2001/XMLSchema" xmlns:p="http://schemas.microsoft.com/office/2006/metadata/properties" xmlns:ns3="e4c3ede9-6491-4f00-85e5-9d8590a0e907" xmlns:ns4="2e20e9f7-cbb1-411e-829f-01bfc3d57671" targetNamespace="http://schemas.microsoft.com/office/2006/metadata/properties" ma:root="true" ma:fieldsID="afcf47c8493467e920feb2932085c71b" ns3:_="" ns4:_="">
    <xsd:import namespace="e4c3ede9-6491-4f00-85e5-9d8590a0e907"/>
    <xsd:import namespace="2e20e9f7-cbb1-411e-829f-01bfc3d5767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3ede9-6491-4f00-85e5-9d8590a0e9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0e9f7-cbb1-411e-829f-01bfc3d576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70B2B1-F0EB-4175-864E-F9F7DDD48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c3ede9-6491-4f00-85e5-9d8590a0e907"/>
    <ds:schemaRef ds:uri="2e20e9f7-cbb1-411e-829f-01bfc3d576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54CA59-EAFA-460B-B77F-9A584EC4DF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A87B1E-0119-4E9A-9364-E2A950DA9644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2e20e9f7-cbb1-411e-829f-01bfc3d57671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e4c3ede9-6491-4f00-85e5-9d8590a0e9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Simulação</vt:lpstr>
      <vt:lpstr>Task</vt:lpstr>
      <vt:lpstr>Freelancer</vt:lpstr>
      <vt:lpstr>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</dc:creator>
  <cp:lastModifiedBy>Marcel</cp:lastModifiedBy>
  <dcterms:created xsi:type="dcterms:W3CDTF">2020-06-12T20:10:55Z</dcterms:created>
  <dcterms:modified xsi:type="dcterms:W3CDTF">2020-06-13T14:28:38Z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0x0101000931B7998274774382A22C62733972BB</vt:lpwstr>
  </property>
</Properties>
</file>